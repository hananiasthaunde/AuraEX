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entorados" sheetId="2" state="visible" r:id="rId2"/>
    <sheet xmlns:r="http://schemas.openxmlformats.org/officeDocument/2006/relationships" name="Sessões" sheetId="3" state="visible" r:id="rId3"/>
    <sheet xmlns:r="http://schemas.openxmlformats.org/officeDocument/2006/relationships" name="Agenda" sheetId="4" state="visible" r:id="rId4"/>
    <sheet xmlns:r="http://schemas.openxmlformats.org/officeDocument/2006/relationships" name="Empresas" sheetId="5" state="visible" r:id="rId5"/>
    <sheet xmlns:r="http://schemas.openxmlformats.org/officeDocument/2006/relationships" name="Como usar" sheetId="6" state="visible" r:id="rId6"/>
  </sheets>
  <definedNames>
    <definedName name="_xlnm._FilterDatabase" localSheetId="0" hidden="1">'Resumo'!$A$11:$F$17</definedName>
    <definedName name="_xlnm._FilterDatabase" localSheetId="1" hidden="1">'Mentorados'!$A$5:$M$23</definedName>
    <definedName name="_xlnm._FilterDatabase" localSheetId="2" hidden="1">'Sessões'!$A$5:$R$23</definedName>
    <definedName name="_xlnm._FilterDatabase" localSheetId="3" hidden="1">'Agenda'!$A$5:$E$9</definedName>
    <definedName name="_xlnm._FilterDatabase" localSheetId="4" hidden="1">'Empresas'!$A$5:$F$11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8B8C93"/>
      <sz val="10"/>
    </font>
    <font>
      <name val="Calibri"/>
      <b val="1"/>
      <color rgb="00FFFFFF"/>
      <sz val="10"/>
    </font>
    <font>
      <name val="Calibri"/>
      <color rgb="00303136"/>
      <sz val="10"/>
    </font>
    <font>
      <name val="Calibri"/>
      <b val="1"/>
      <color rgb="00B87513"/>
      <sz val="10"/>
    </font>
    <font>
      <name val="Calibri"/>
      <b val="1"/>
      <color rgb="00C94040"/>
      <sz val="10"/>
    </font>
    <font>
      <name val="Calibri"/>
      <b val="1"/>
      <color rgb="001F9560"/>
      <sz val="10"/>
    </font>
    <font>
      <name val="Calibri"/>
      <b val="1"/>
      <color rgb="003767B1"/>
      <sz val="10"/>
    </font>
    <font>
      <name val="Calibri"/>
      <b val="1"/>
      <color rgb="00FFFFFF"/>
      <sz val="11"/>
    </font>
    <font>
      <name val="Calibri"/>
      <b val="1"/>
      <color rgb="00FF5A1F"/>
      <sz val="24"/>
    </font>
    <font>
      <b val="1"/>
      <color rgb="00FFFFFF"/>
    </font>
    <font>
      <b val="1"/>
      <color rgb="00303136"/>
    </font>
    <font>
      <color rgb="0068696E"/>
    </font>
  </fonts>
  <fills count="11">
    <fill>
      <patternFill/>
    </fill>
    <fill>
      <patternFill patternType="gray125"/>
    </fill>
    <fill>
      <patternFill patternType="solid">
        <fgColor rgb="00FF5A1F"/>
      </patternFill>
    </fill>
    <fill>
      <patternFill patternType="solid">
        <fgColor rgb="00FFFFFF"/>
      </patternFill>
    </fill>
    <fill>
      <patternFill patternType="solid">
        <fgColor rgb="00FFF5DF"/>
      </patternFill>
    </fill>
    <fill>
      <patternFill patternType="solid">
        <fgColor rgb="00F7F7F8"/>
      </patternFill>
    </fill>
    <fill>
      <patternFill patternType="solid">
        <fgColor rgb="00FFF0F0"/>
      </patternFill>
    </fill>
    <fill>
      <patternFill patternType="solid">
        <fgColor rgb="00EAF8F1"/>
      </patternFill>
    </fill>
    <fill>
      <patternFill patternType="solid">
        <fgColor rgb="00EEF4FF"/>
      </patternFill>
    </fill>
    <fill>
      <patternFill patternType="solid">
        <fgColor rgb="0068696E"/>
      </patternFill>
    </fill>
    <fill>
      <patternFill patternType="solid">
        <fgColor rgb="00FFF0E9"/>
      </patternFill>
    </fill>
  </fills>
  <borders count="4">
    <border>
      <left/>
      <right/>
      <top/>
      <bottom/>
      <diagonal/>
    </border>
    <border>
      <left style="thin">
        <color rgb="00E7E7EA"/>
      </left>
      <right style="thin">
        <color rgb="00E7E7EA"/>
      </right>
      <top style="thin">
        <color rgb="00E7E7EA"/>
      </top>
      <bottom style="thin">
        <color rgb="00E7E7EA"/>
      </bottom>
    </border>
    <border>
      <bottom style="thin">
        <color rgb="00E7E7EA"/>
      </bottom>
    </border>
    <border>
      <left/>
      <right/>
      <top/>
      <bottom style="thin">
        <color rgb="00E7E7E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9" fillId="9" borderId="0" applyAlignment="1" pivotButton="0" quotePrefix="0" xfId="0">
      <alignment vertical="center"/>
    </xf>
    <xf numFmtId="0" fontId="2" fillId="10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9" fontId="10" fillId="1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9" fontId="4" fillId="3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9" fillId="9" borderId="0" pivotButton="0" quotePrefix="0" xfId="0"/>
    <xf numFmtId="0" fontId="7" fillId="7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8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center"/>
    </xf>
    <xf numFmtId="0" fontId="13" fillId="0" borderId="2" applyAlignment="1" pivotButton="0" quotePrefix="0" xfId="0">
      <alignment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5A1F"/>
    <outlinePr summaryBelow="1" summaryRight="1"/>
    <pageSetUpPr fitToPage="1"/>
  </sheetPr>
  <dimension ref="A1:H23"/>
  <sheetViews>
    <sheetView showGridLines="0" zoomScale="9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6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 ht="27" customHeight="1">
      <c r="A1" s="1" t="inlineStr">
        <is>
          <t>AuraEX — Relatório de Mentorias</t>
        </is>
      </c>
    </row>
    <row r="2" ht="27" customHeight="1"/>
    <row r="3" ht="22" customHeight="1">
      <c r="A3" s="2" t="inlineStr">
        <is>
          <t>Painel executivo • Programa 2026</t>
        </is>
      </c>
    </row>
    <row r="5" ht="24" customHeight="1">
      <c r="A5" s="3" t="inlineStr">
        <is>
          <t>INDICADORES PRINCIPAIS</t>
        </is>
      </c>
    </row>
    <row r="6" ht="23" customHeight="1">
      <c r="A6" s="4" t="inlineStr">
        <is>
          <t>Mentorados</t>
        </is>
      </c>
      <c r="C6" s="4" t="inlineStr">
        <is>
          <t>Sessões concluídas</t>
        </is>
      </c>
      <c r="E6" s="4" t="inlineStr">
        <is>
          <t>Marcações / pendências</t>
        </is>
      </c>
      <c r="G6" s="4" t="inlineStr">
        <is>
          <t>Progresso médio</t>
        </is>
      </c>
    </row>
    <row r="7" ht="27" customHeight="1">
      <c r="A7" s="5">
        <f>COUNTA(Mentorados!B6:B23)</f>
        <v/>
      </c>
      <c r="C7" s="5">
        <f>SUM(Mentorados!G6:G23)</f>
        <v/>
      </c>
      <c r="E7" s="5">
        <f>COUNTA(Agenda!A6:A9)</f>
        <v/>
      </c>
      <c r="G7" s="6">
        <f>IFERROR(AVERAGE(Mentorados!I6:I23),0)</f>
        <v/>
      </c>
    </row>
    <row r="8" ht="27" customHeight="1"/>
    <row r="10">
      <c r="A10" s="3" t="inlineStr">
        <is>
          <t>RESUMO POR EMPRESA</t>
        </is>
      </c>
    </row>
    <row r="11">
      <c r="A11" s="7" t="inlineStr">
        <is>
          <t>Empresa</t>
        </is>
      </c>
      <c r="B11" s="7" t="inlineStr">
        <is>
          <t>Mentorados</t>
        </is>
      </c>
      <c r="C11" s="7" t="inlineStr">
        <is>
          <t>Progresso médio</t>
        </is>
      </c>
      <c r="D11" s="7" t="inlineStr">
        <is>
          <t>Concluídos</t>
        </is>
      </c>
      <c r="E11" s="7" t="inlineStr">
        <is>
          <t>Em andamento</t>
        </is>
      </c>
      <c r="F11" s="7" t="inlineStr">
        <is>
          <t>Não iniciados</t>
        </is>
      </c>
    </row>
    <row r="12">
      <c r="A12" s="8">
        <f>Empresas!A6</f>
        <v/>
      </c>
      <c r="B12" s="9">
        <f>Empresas!B6</f>
        <v/>
      </c>
      <c r="C12" s="10">
        <f>Empresas!C6</f>
        <v/>
      </c>
      <c r="D12" s="9">
        <f>Empresas!D6</f>
        <v/>
      </c>
      <c r="E12" s="9">
        <f>Empresas!E6</f>
        <v/>
      </c>
      <c r="F12" s="9">
        <f>Empresas!F6</f>
        <v/>
      </c>
    </row>
    <row r="13">
      <c r="A13" s="11">
        <f>Empresas!A7</f>
        <v/>
      </c>
      <c r="B13" s="12">
        <f>Empresas!B7</f>
        <v/>
      </c>
      <c r="C13" s="13">
        <f>Empresas!C7</f>
        <v/>
      </c>
      <c r="D13" s="12">
        <f>Empresas!D7</f>
        <v/>
      </c>
      <c r="E13" s="12">
        <f>Empresas!E7</f>
        <v/>
      </c>
      <c r="F13" s="12">
        <f>Empresas!F7</f>
        <v/>
      </c>
    </row>
    <row r="14">
      <c r="A14" s="8">
        <f>Empresas!A8</f>
        <v/>
      </c>
      <c r="B14" s="9">
        <f>Empresas!B8</f>
        <v/>
      </c>
      <c r="C14" s="10">
        <f>Empresas!C8</f>
        <v/>
      </c>
      <c r="D14" s="9">
        <f>Empresas!D8</f>
        <v/>
      </c>
      <c r="E14" s="9">
        <f>Empresas!E8</f>
        <v/>
      </c>
      <c r="F14" s="9">
        <f>Empresas!F8</f>
        <v/>
      </c>
    </row>
    <row r="15">
      <c r="A15" s="11">
        <f>Empresas!A9</f>
        <v/>
      </c>
      <c r="B15" s="12">
        <f>Empresas!B9</f>
        <v/>
      </c>
      <c r="C15" s="13">
        <f>Empresas!C9</f>
        <v/>
      </c>
      <c r="D15" s="12">
        <f>Empresas!D9</f>
        <v/>
      </c>
      <c r="E15" s="12">
        <f>Empresas!E9</f>
        <v/>
      </c>
      <c r="F15" s="12">
        <f>Empresas!F9</f>
        <v/>
      </c>
    </row>
    <row r="16">
      <c r="A16" s="8">
        <f>Empresas!A10</f>
        <v/>
      </c>
      <c r="B16" s="9">
        <f>Empresas!B10</f>
        <v/>
      </c>
      <c r="C16" s="10">
        <f>Empresas!C10</f>
        <v/>
      </c>
      <c r="D16" s="9">
        <f>Empresas!D10</f>
        <v/>
      </c>
      <c r="E16" s="9">
        <f>Empresas!E10</f>
        <v/>
      </c>
      <c r="F16" s="9">
        <f>Empresas!F10</f>
        <v/>
      </c>
    </row>
    <row r="17">
      <c r="A17" s="11">
        <f>Empresas!A11</f>
        <v/>
      </c>
      <c r="B17" s="12">
        <f>Empresas!B11</f>
        <v/>
      </c>
      <c r="C17" s="13">
        <f>Empresas!C11</f>
        <v/>
      </c>
      <c r="D17" s="12">
        <f>Empresas!D11</f>
        <v/>
      </c>
      <c r="E17" s="12">
        <f>Empresas!E11</f>
        <v/>
      </c>
      <c r="F17" s="12">
        <f>Empresas!F11</f>
        <v/>
      </c>
    </row>
    <row r="19">
      <c r="A19" s="14" t="inlineStr">
        <is>
          <t>LEGENDA DE PREENCHIMENTO</t>
        </is>
      </c>
    </row>
    <row r="20">
      <c r="A20" s="15" t="inlineStr">
        <is>
          <t>ok</t>
        </is>
      </c>
      <c r="B20" s="8" t="inlineStr">
        <is>
          <t>Concluída</t>
        </is>
      </c>
      <c r="C20" s="16" t="n"/>
      <c r="D20" s="16" t="n"/>
    </row>
    <row r="21">
      <c r="A21" s="17" t="inlineStr">
        <is>
          <t>10/08 - 14h</t>
        </is>
      </c>
      <c r="B21" s="8" t="inlineStr">
        <is>
          <t>Agendada</t>
        </is>
      </c>
      <c r="C21" s="16" t="n"/>
      <c r="D21" s="16" t="n"/>
    </row>
    <row r="22">
      <c r="A22" s="18" t="inlineStr">
        <is>
          <t>Aguardando retorno</t>
        </is>
      </c>
      <c r="B22" s="8" t="inlineStr">
        <is>
          <t>Pendência</t>
        </is>
      </c>
      <c r="C22" s="16" t="n"/>
      <c r="D22" s="16" t="n"/>
    </row>
    <row r="23">
      <c r="A23" s="19" t="inlineStr">
        <is>
          <t>vazio</t>
        </is>
      </c>
      <c r="B23" s="8" t="inlineStr">
        <is>
          <t>Não iniciada</t>
        </is>
      </c>
      <c r="C23" s="16" t="n"/>
      <c r="D23" s="16" t="n"/>
    </row>
  </sheetData>
  <autoFilter ref="A11:F17"/>
  <mergeCells count="17">
    <mergeCell ref="A3:H3"/>
    <mergeCell ref="E6:F6"/>
    <mergeCell ref="C6:D6"/>
    <mergeCell ref="G7:H8"/>
    <mergeCell ref="C7:D8"/>
    <mergeCell ref="A7:B8"/>
    <mergeCell ref="B22:D22"/>
    <mergeCell ref="E7:F8"/>
    <mergeCell ref="B23:D23"/>
    <mergeCell ref="A10:H10"/>
    <mergeCell ref="A19:H19"/>
    <mergeCell ref="B21:D21"/>
    <mergeCell ref="G6:H6"/>
    <mergeCell ref="A5:H5"/>
    <mergeCell ref="A1:H2"/>
    <mergeCell ref="A6:B6"/>
    <mergeCell ref="B20:D20"/>
  </mergeCells>
  <pageMargins left="0.25" right="0.25" top="0.5" bottom="0.5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FF5A1F"/>
    <outlinePr summaryBelow="1" summaryRight="1"/>
    <pageSetUpPr fitToPage="1"/>
  </sheetPr>
  <dimension ref="A1:M23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2" customWidth="1" min="3" max="3"/>
    <col width="18" customWidth="1" min="4" max="4"/>
    <col width="20" customWidth="1" min="5" max="5"/>
    <col width="17" customWidth="1" min="6" max="6"/>
    <col width="18" customWidth="1" min="7" max="7"/>
    <col width="16" customWidth="1" min="8" max="8"/>
    <col width="13" customWidth="1" min="9" max="9"/>
    <col width="36" customWidth="1" min="10" max="10"/>
    <col width="20" customWidth="1" min="11" max="11"/>
    <col width="23" customWidth="1" min="12" max="12"/>
    <col width="23" customWidth="1" min="13" max="13"/>
  </cols>
  <sheetData>
    <row r="1" ht="27" customHeight="1">
      <c r="A1" s="1" t="inlineStr">
        <is>
          <t>AuraEX — Cadastro de Mentorados</t>
        </is>
      </c>
    </row>
    <row r="2" ht="27" customHeight="1"/>
    <row r="3" ht="22" customHeight="1">
      <c r="A3" s="2" t="inlineStr">
        <is>
          <t>Base organizada a partir da planilha 2026 • 18 registos</t>
        </is>
      </c>
    </row>
    <row r="5" ht="29" customHeight="1">
      <c r="A5" s="7" t="inlineStr">
        <is>
          <t>ID</t>
        </is>
      </c>
      <c r="B5" s="7" t="inlineStr">
        <is>
          <t>Mentorado</t>
        </is>
      </c>
      <c r="C5" s="7" t="inlineStr">
        <is>
          <t>E-mail</t>
        </is>
      </c>
      <c r="D5" s="7" t="inlineStr">
        <is>
          <t>Telefone</t>
        </is>
      </c>
      <c r="E5" s="7" t="inlineStr">
        <is>
          <t>Empresa</t>
        </is>
      </c>
      <c r="F5" s="7" t="inlineStr">
        <is>
          <t>Estado</t>
        </is>
      </c>
      <c r="G5" s="7" t="inlineStr">
        <is>
          <t>Sessões concluídas</t>
        </is>
      </c>
      <c r="H5" s="7" t="inlineStr">
        <is>
          <t>Total de sessões</t>
        </is>
      </c>
      <c r="I5" s="7" t="inlineStr">
        <is>
          <t>Progresso</t>
        </is>
      </c>
      <c r="J5" s="7" t="inlineStr">
        <is>
          <t>Próximo passo</t>
        </is>
      </c>
      <c r="K5" s="7" t="inlineStr">
        <is>
          <t>Avaliação parcial</t>
        </is>
      </c>
      <c r="L5" s="7" t="inlineStr">
        <is>
          <t>Encerramento</t>
        </is>
      </c>
      <c r="M5" s="7" t="inlineStr">
        <is>
          <t>Relatório</t>
        </is>
      </c>
    </row>
    <row r="6" ht="27" customHeight="1">
      <c r="A6" s="9" t="n">
        <v>1</v>
      </c>
      <c r="B6" s="8" t="inlineStr">
        <is>
          <t>Ana Cristina de Vasconcelos</t>
        </is>
      </c>
      <c r="C6" s="8" t="inlineStr">
        <is>
          <t>ana.vasconcelos@bbprevidencia.com.br</t>
        </is>
      </c>
      <c r="D6" s="8" t="inlineStr"/>
      <c r="E6" s="8" t="inlineStr">
        <is>
          <t>BB</t>
        </is>
      </c>
      <c r="F6" s="18" t="inlineStr">
        <is>
          <t>Em andamento</t>
        </is>
      </c>
      <c r="G6" s="9" t="n">
        <v>5</v>
      </c>
      <c r="H6" s="9" t="n">
        <v>12</v>
      </c>
      <c r="I6" s="10" t="n">
        <v>0.4166666666666667</v>
      </c>
      <c r="J6" s="8" t="inlineStr"/>
      <c r="K6" s="8" t="n"/>
      <c r="L6" s="8" t="n"/>
      <c r="M6" s="8" t="n"/>
    </row>
    <row r="7" ht="27" customHeight="1">
      <c r="A7" s="12" t="n">
        <v>2</v>
      </c>
      <c r="B7" s="11" t="inlineStr">
        <is>
          <t>Ginne Siqueira Diniz</t>
        </is>
      </c>
      <c r="C7" s="11" t="inlineStr">
        <is>
          <t>ginne.diniz@bbprevidencia.com.br</t>
        </is>
      </c>
      <c r="D7" s="11" t="inlineStr"/>
      <c r="E7" s="11" t="inlineStr">
        <is>
          <t>BB</t>
        </is>
      </c>
      <c r="F7" s="18" t="inlineStr">
        <is>
          <t>Em andamento</t>
        </is>
      </c>
      <c r="G7" s="12" t="n">
        <v>4</v>
      </c>
      <c r="H7" s="12" t="n">
        <v>12</v>
      </c>
      <c r="I7" s="13" t="n">
        <v>0.3333333333333333</v>
      </c>
      <c r="J7" s="11" t="inlineStr"/>
      <c r="K7" s="11" t="n"/>
      <c r="L7" s="11" t="n"/>
      <c r="M7" s="11" t="n"/>
    </row>
    <row r="8" ht="27" customHeight="1">
      <c r="A8" s="9" t="n">
        <v>3</v>
      </c>
      <c r="B8" s="8" t="inlineStr">
        <is>
          <t>Waldeney Lima Resky</t>
        </is>
      </c>
      <c r="C8" s="8" t="inlineStr">
        <is>
          <t>waldeney.resky@ro.sebrae.com.br</t>
        </is>
      </c>
      <c r="D8" s="8" t="inlineStr"/>
      <c r="E8" s="8" t="inlineStr">
        <is>
          <t>SEBRAE RO</t>
        </is>
      </c>
      <c r="F8" s="18" t="inlineStr">
        <is>
          <t>Em andamento</t>
        </is>
      </c>
      <c r="G8" s="9" t="n">
        <v>0</v>
      </c>
      <c r="H8" s="9" t="n">
        <v>12</v>
      </c>
      <c r="I8" s="10" t="n">
        <v>0</v>
      </c>
      <c r="J8" s="8" t="inlineStr">
        <is>
          <t>Sessão 1: 10/07 - 15h às 16h</t>
        </is>
      </c>
      <c r="K8" s="8" t="n"/>
      <c r="L8" s="8" t="n"/>
      <c r="M8" s="8" t="n"/>
    </row>
    <row r="9" ht="27" customHeight="1">
      <c r="A9" s="12" t="n">
        <v>4</v>
      </c>
      <c r="B9" s="11" t="inlineStr">
        <is>
          <t>Tuannhy Rozeira Haverroth</t>
        </is>
      </c>
      <c r="C9" s="11" t="inlineStr">
        <is>
          <t>tuannhy.haverroth@ro.sebrae.com.br</t>
        </is>
      </c>
      <c r="D9" s="11" t="inlineStr"/>
      <c r="E9" s="11" t="inlineStr">
        <is>
          <t>SEBRAE RO</t>
        </is>
      </c>
      <c r="F9" s="18" t="inlineStr">
        <is>
          <t>Em andamento</t>
        </is>
      </c>
      <c r="G9" s="12" t="n">
        <v>0</v>
      </c>
      <c r="H9" s="12" t="n">
        <v>12</v>
      </c>
      <c r="I9" s="13" t="n">
        <v>0</v>
      </c>
      <c r="J9" s="11" t="inlineStr">
        <is>
          <t>Sessão 1: 13/07 - 9h às 10h</t>
        </is>
      </c>
      <c r="K9" s="11" t="n"/>
      <c r="L9" s="11" t="n"/>
      <c r="M9" s="11" t="n"/>
    </row>
    <row r="10" ht="27" customHeight="1">
      <c r="A10" s="9" t="n">
        <v>5</v>
      </c>
      <c r="B10" s="8" t="inlineStr">
        <is>
          <t>Telmo Luciano Silva Neves</t>
        </is>
      </c>
      <c r="C10" s="8" t="inlineStr">
        <is>
          <t>telmo.neves@ro.sebrae.com.br</t>
        </is>
      </c>
      <c r="D10" s="8" t="inlineStr"/>
      <c r="E10" s="8" t="inlineStr">
        <is>
          <t>SEBRAE RO</t>
        </is>
      </c>
      <c r="F10" s="18" t="inlineStr">
        <is>
          <t>Em andamento</t>
        </is>
      </c>
      <c r="G10" s="9" t="n">
        <v>0</v>
      </c>
      <c r="H10" s="9" t="n">
        <v>12</v>
      </c>
      <c r="I10" s="10" t="n">
        <v>0</v>
      </c>
      <c r="J10" s="8" t="inlineStr">
        <is>
          <t>Sessão 1: 13/07 - 10h30 às 11h30</t>
        </is>
      </c>
      <c r="K10" s="8" t="n"/>
      <c r="L10" s="8" t="n"/>
      <c r="M10" s="8" t="n"/>
    </row>
    <row r="11" ht="27" customHeight="1">
      <c r="A11" s="12" t="n">
        <v>6</v>
      </c>
      <c r="B11" s="11" t="inlineStr">
        <is>
          <t>Pedro Afonso Coelho Figueira</t>
        </is>
      </c>
      <c r="C11" s="11" t="inlineStr">
        <is>
          <t>pedroafonso@ro.sebrae.com.br</t>
        </is>
      </c>
      <c r="D11" s="11" t="inlineStr"/>
      <c r="E11" s="11" t="inlineStr">
        <is>
          <t>SEBRAE RO</t>
        </is>
      </c>
      <c r="F11" s="18" t="inlineStr">
        <is>
          <t>Em andamento</t>
        </is>
      </c>
      <c r="G11" s="12" t="n">
        <v>0</v>
      </c>
      <c r="H11" s="12" t="n">
        <v>12</v>
      </c>
      <c r="I11" s="13" t="n">
        <v>0</v>
      </c>
      <c r="J11" s="11" t="inlineStr">
        <is>
          <t>Sessão 1: Licença paternidade</t>
        </is>
      </c>
      <c r="K11" s="11" t="n"/>
      <c r="L11" s="11" t="n"/>
      <c r="M11" s="11" t="n"/>
    </row>
    <row r="12" ht="27" customHeight="1">
      <c r="A12" s="9" t="n">
        <v>7</v>
      </c>
      <c r="B12" s="8" t="inlineStr">
        <is>
          <t>Jackeline Dantas</t>
        </is>
      </c>
      <c r="C12" s="8" t="inlineStr">
        <is>
          <t>jackelinedb@sebraesp.com.br</t>
        </is>
      </c>
      <c r="D12" s="8" t="inlineStr"/>
      <c r="E12" s="8" t="inlineStr">
        <is>
          <t>Sebrae SP</t>
        </is>
      </c>
      <c r="F12" s="18" t="inlineStr">
        <is>
          <t>Em andamento</t>
        </is>
      </c>
      <c r="G12" s="9" t="n">
        <v>5</v>
      </c>
      <c r="H12" s="9" t="n">
        <v>12</v>
      </c>
      <c r="I12" s="10" t="n">
        <v>0.4166666666666667</v>
      </c>
      <c r="J12" s="8" t="inlineStr"/>
      <c r="K12" s="8" t="n"/>
      <c r="L12" s="8" t="n"/>
      <c r="M12" s="8" t="n"/>
    </row>
    <row r="13" ht="27" customHeight="1">
      <c r="A13" s="12" t="n">
        <v>8</v>
      </c>
      <c r="B13" s="11" t="inlineStr">
        <is>
          <t>Alexandre Roman</t>
        </is>
      </c>
      <c r="C13" s="11" t="inlineStr">
        <is>
          <t>alexandre.roman@fraslemobility.com</t>
        </is>
      </c>
      <c r="D13" s="11" t="inlineStr"/>
      <c r="E13" s="11" t="inlineStr">
        <is>
          <t>Fras-le</t>
        </is>
      </c>
      <c r="F13" s="18" t="inlineStr">
        <is>
          <t>Em andamento</t>
        </is>
      </c>
      <c r="G13" s="12" t="n">
        <v>5</v>
      </c>
      <c r="H13" s="12" t="n">
        <v>12</v>
      </c>
      <c r="I13" s="13" t="n">
        <v>0.4166666666666667</v>
      </c>
      <c r="J13" s="11" t="inlineStr"/>
      <c r="K13" s="11" t="n"/>
      <c r="L13" s="11" t="n"/>
      <c r="M13" s="11" t="n"/>
    </row>
    <row r="14" ht="27" customHeight="1">
      <c r="A14" s="9" t="n">
        <v>9</v>
      </c>
      <c r="B14" s="8" t="inlineStr">
        <is>
          <t>Anderson Silva</t>
        </is>
      </c>
      <c r="C14" s="8" t="inlineStr">
        <is>
          <t>anderson.silva@fraslemobility.com</t>
        </is>
      </c>
      <c r="D14" s="8" t="inlineStr"/>
      <c r="E14" s="8" t="inlineStr">
        <is>
          <t>Fras-le</t>
        </is>
      </c>
      <c r="F14" s="18" t="inlineStr">
        <is>
          <t>Em andamento</t>
        </is>
      </c>
      <c r="G14" s="9" t="n">
        <v>4</v>
      </c>
      <c r="H14" s="9" t="n">
        <v>12</v>
      </c>
      <c r="I14" s="10" t="n">
        <v>0.3333333333333333</v>
      </c>
      <c r="J14" s="8" t="inlineStr"/>
      <c r="K14" s="8" t="n"/>
      <c r="L14" s="8" t="n"/>
      <c r="M14" s="8" t="n"/>
    </row>
    <row r="15" ht="27" customHeight="1">
      <c r="A15" s="12" t="n">
        <v>10</v>
      </c>
      <c r="B15" s="11" t="inlineStr">
        <is>
          <t>Daniel Beretta Piccoli</t>
        </is>
      </c>
      <c r="C15" s="11" t="inlineStr">
        <is>
          <t>daniel.piccoli@fraslemobility.com</t>
        </is>
      </c>
      <c r="D15" s="11" t="inlineStr"/>
      <c r="E15" s="11" t="inlineStr">
        <is>
          <t>Fras-le</t>
        </is>
      </c>
      <c r="F15" s="18" t="inlineStr">
        <is>
          <t>Em andamento</t>
        </is>
      </c>
      <c r="G15" s="12" t="n">
        <v>4</v>
      </c>
      <c r="H15" s="12" t="n">
        <v>12</v>
      </c>
      <c r="I15" s="13" t="n">
        <v>0.3333333333333333</v>
      </c>
      <c r="J15" s="11" t="inlineStr"/>
      <c r="K15" s="11" t="n"/>
      <c r="L15" s="11" t="n"/>
      <c r="M15" s="11" t="n"/>
    </row>
    <row r="16" ht="27" customHeight="1">
      <c r="A16" s="9" t="n">
        <v>11</v>
      </c>
      <c r="B16" s="8" t="inlineStr">
        <is>
          <t>Glauco Della Vecchia</t>
        </is>
      </c>
      <c r="C16" s="8" t="inlineStr">
        <is>
          <t>glauco.dellavecchia@svpworldwide.com</t>
        </is>
      </c>
      <c r="D16" s="8" t="inlineStr"/>
      <c r="E16" s="8" t="inlineStr">
        <is>
          <t>Singer</t>
        </is>
      </c>
      <c r="F16" s="18" t="inlineStr">
        <is>
          <t>Em andamento</t>
        </is>
      </c>
      <c r="G16" s="9" t="n">
        <v>3</v>
      </c>
      <c r="H16" s="9" t="n">
        <v>12</v>
      </c>
      <c r="I16" s="10" t="n">
        <v>0.25</v>
      </c>
      <c r="J16" s="8" t="inlineStr"/>
      <c r="K16" s="8" t="n"/>
      <c r="L16" s="8" t="n"/>
      <c r="M16" s="8" t="n"/>
    </row>
    <row r="17" ht="27" customHeight="1">
      <c r="A17" s="12" t="n">
        <v>12</v>
      </c>
      <c r="B17" s="11" t="inlineStr">
        <is>
          <t>Yara Assia Cabra Ventura</t>
        </is>
      </c>
      <c r="C17" s="11" t="inlineStr">
        <is>
          <t>yara.cabra@edm.co.mz</t>
        </is>
      </c>
      <c r="D17" s="11" t="inlineStr"/>
      <c r="E17" s="11" t="inlineStr">
        <is>
          <t>EDM</t>
        </is>
      </c>
      <c r="F17" s="19" t="inlineStr">
        <is>
          <t>Não iniciado</t>
        </is>
      </c>
      <c r="G17" s="12" t="n">
        <v>0</v>
      </c>
      <c r="H17" s="12" t="n">
        <v>12</v>
      </c>
      <c r="I17" s="13" t="n">
        <v>0</v>
      </c>
      <c r="J17" s="11" t="inlineStr"/>
      <c r="K17" s="11" t="n"/>
      <c r="L17" s="11" t="n"/>
      <c r="M17" s="11" t="n"/>
    </row>
    <row r="18" ht="27" customHeight="1">
      <c r="A18" s="9" t="n">
        <v>13</v>
      </c>
      <c r="B18" s="8" t="inlineStr">
        <is>
          <t>Assa Fumo</t>
        </is>
      </c>
      <c r="C18" s="8" t="inlineStr">
        <is>
          <t>assa.fumo@edm.co.mz</t>
        </is>
      </c>
      <c r="D18" s="8" t="inlineStr"/>
      <c r="E18" s="8" t="inlineStr">
        <is>
          <t>EDM</t>
        </is>
      </c>
      <c r="F18" s="19" t="inlineStr">
        <is>
          <t>Não iniciado</t>
        </is>
      </c>
      <c r="G18" s="9" t="n">
        <v>0</v>
      </c>
      <c r="H18" s="9" t="n">
        <v>12</v>
      </c>
      <c r="I18" s="10" t="n">
        <v>0</v>
      </c>
      <c r="J18" s="8" t="inlineStr"/>
      <c r="K18" s="8" t="n"/>
      <c r="L18" s="8" t="n"/>
      <c r="M18" s="8" t="n"/>
    </row>
    <row r="19" ht="27" customHeight="1">
      <c r="A19" s="12" t="n">
        <v>14</v>
      </c>
      <c r="B19" s="11" t="inlineStr">
        <is>
          <t>Antonio Munguambe</t>
        </is>
      </c>
      <c r="C19" s="11" t="inlineStr">
        <is>
          <t>antonio.munguambe@edm.co.mz</t>
        </is>
      </c>
      <c r="D19" s="11" t="inlineStr"/>
      <c r="E19" s="11" t="inlineStr">
        <is>
          <t>EDM</t>
        </is>
      </c>
      <c r="F19" s="19" t="inlineStr">
        <is>
          <t>Não iniciado</t>
        </is>
      </c>
      <c r="G19" s="12" t="n">
        <v>0</v>
      </c>
      <c r="H19" s="12" t="n">
        <v>12</v>
      </c>
      <c r="I19" s="13" t="n">
        <v>0</v>
      </c>
      <c r="J19" s="11" t="inlineStr"/>
      <c r="K19" s="11" t="n"/>
      <c r="L19" s="11" t="n"/>
      <c r="M19" s="11" t="n"/>
    </row>
    <row r="20" ht="27" customHeight="1">
      <c r="A20" s="9" t="n">
        <v>15</v>
      </c>
      <c r="B20" s="8" t="inlineStr">
        <is>
          <t>Anastácio Inácio</t>
        </is>
      </c>
      <c r="C20" s="8" t="inlineStr">
        <is>
          <t>anastacio.inacio@edm.co.mz</t>
        </is>
      </c>
      <c r="D20" s="8" t="inlineStr"/>
      <c r="E20" s="8" t="inlineStr">
        <is>
          <t>EDM</t>
        </is>
      </c>
      <c r="F20" s="19" t="inlineStr">
        <is>
          <t>Não iniciado</t>
        </is>
      </c>
      <c r="G20" s="9" t="n">
        <v>0</v>
      </c>
      <c r="H20" s="9" t="n">
        <v>12</v>
      </c>
      <c r="I20" s="10" t="n">
        <v>0</v>
      </c>
      <c r="J20" s="8" t="inlineStr"/>
      <c r="K20" s="8" t="n"/>
      <c r="L20" s="8" t="n"/>
      <c r="M20" s="8" t="n"/>
    </row>
    <row r="21" ht="27" customHeight="1">
      <c r="A21" s="12" t="n">
        <v>16</v>
      </c>
      <c r="B21" s="11" t="inlineStr">
        <is>
          <t>Iolanda Seuane</t>
        </is>
      </c>
      <c r="C21" s="11" t="inlineStr">
        <is>
          <t>iolanda.seuane@edm.co.mz</t>
        </is>
      </c>
      <c r="D21" s="11" t="inlineStr"/>
      <c r="E21" s="11" t="inlineStr">
        <is>
          <t>EDM</t>
        </is>
      </c>
      <c r="F21" s="19" t="inlineStr">
        <is>
          <t>Não iniciado</t>
        </is>
      </c>
      <c r="G21" s="12" t="n">
        <v>0</v>
      </c>
      <c r="H21" s="12" t="n">
        <v>12</v>
      </c>
      <c r="I21" s="13" t="n">
        <v>0</v>
      </c>
      <c r="J21" s="11" t="inlineStr"/>
      <c r="K21" s="11" t="n"/>
      <c r="L21" s="11" t="n"/>
      <c r="M21" s="11" t="n"/>
    </row>
    <row r="22" ht="27" customHeight="1">
      <c r="A22" s="9" t="n">
        <v>17</v>
      </c>
      <c r="B22" s="8" t="inlineStr">
        <is>
          <t>Francisco Inroga</t>
        </is>
      </c>
      <c r="C22" s="8" t="inlineStr">
        <is>
          <t>Francisco.Inroga@edm.co.mz</t>
        </is>
      </c>
      <c r="D22" s="8" t="inlineStr"/>
      <c r="E22" s="8" t="inlineStr">
        <is>
          <t>EDM</t>
        </is>
      </c>
      <c r="F22" s="19" t="inlineStr">
        <is>
          <t>Não iniciado</t>
        </is>
      </c>
      <c r="G22" s="9" t="n">
        <v>0</v>
      </c>
      <c r="H22" s="9" t="n">
        <v>12</v>
      </c>
      <c r="I22" s="10" t="n">
        <v>0</v>
      </c>
      <c r="J22" s="8" t="inlineStr"/>
      <c r="K22" s="8" t="n"/>
      <c r="L22" s="8" t="n"/>
      <c r="M22" s="8" t="n"/>
    </row>
    <row r="23" ht="27" customHeight="1">
      <c r="A23" s="12" t="n">
        <v>18</v>
      </c>
      <c r="B23" s="11" t="inlineStr">
        <is>
          <t>Rosa Chilundo</t>
        </is>
      </c>
      <c r="C23" s="11" t="inlineStr">
        <is>
          <t>rosa.chilundo@edm.co.mz</t>
        </is>
      </c>
      <c r="D23" s="11" t="inlineStr"/>
      <c r="E23" s="11" t="inlineStr">
        <is>
          <t>EDM</t>
        </is>
      </c>
      <c r="F23" s="19" t="inlineStr">
        <is>
          <t>Não iniciado</t>
        </is>
      </c>
      <c r="G23" s="12" t="n">
        <v>0</v>
      </c>
      <c r="H23" s="12" t="n">
        <v>12</v>
      </c>
      <c r="I23" s="13" t="n">
        <v>0</v>
      </c>
      <c r="J23" s="11" t="inlineStr"/>
      <c r="K23" s="11" t="n"/>
      <c r="L23" s="11" t="n"/>
      <c r="M23" s="11" t="n"/>
    </row>
  </sheetData>
  <autoFilter ref="A5:M23"/>
  <mergeCells count="2">
    <mergeCell ref="A1:M2"/>
    <mergeCell ref="A3:M3"/>
  </mergeCells>
  <pageMargins left="0.25" right="0.25" top="0.5" bottom="0.5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FF5A1F"/>
    <outlinePr summaryBelow="1" summaryRight="1"/>
    <pageSetUpPr fitToPage="1"/>
  </sheetPr>
  <dimension ref="A1:R23"/>
  <sheetViews>
    <sheetView showGridLines="0"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9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4" customWidth="1" min="16" max="16"/>
    <col width="13" customWidth="1" min="17" max="17"/>
    <col width="17" customWidth="1" min="18" max="18"/>
  </cols>
  <sheetData>
    <row r="1" ht="27" customHeight="1">
      <c r="A1" s="1" t="inlineStr">
        <is>
          <t>AuraEX — Tabela de Sessões</t>
        </is>
      </c>
    </row>
    <row r="2" ht="27" customHeight="1"/>
    <row r="3" ht="22" customHeight="1">
      <c r="A3" s="2" t="inlineStr">
        <is>
          <t>Visão ampla para acompanhar todas as marcações</t>
        </is>
      </c>
    </row>
    <row r="5" ht="29" customHeight="1">
      <c r="A5" s="7" t="inlineStr">
        <is>
          <t>ID</t>
        </is>
      </c>
      <c r="B5" s="7" t="inlineStr">
        <is>
          <t>Mentorado</t>
        </is>
      </c>
      <c r="C5" s="7" t="inlineStr">
        <is>
          <t>Empresa</t>
        </is>
      </c>
      <c r="D5" s="7" t="inlineStr">
        <is>
          <t>Sessão 1</t>
        </is>
      </c>
      <c r="E5" s="7" t="inlineStr">
        <is>
          <t>Sessão 2</t>
        </is>
      </c>
      <c r="F5" s="7" t="inlineStr">
        <is>
          <t>Sessão 3</t>
        </is>
      </c>
      <c r="G5" s="7" t="inlineStr">
        <is>
          <t>Sessão 4</t>
        </is>
      </c>
      <c r="H5" s="7" t="inlineStr">
        <is>
          <t>Sessão 5</t>
        </is>
      </c>
      <c r="I5" s="7" t="inlineStr">
        <is>
          <t>Sessão 6</t>
        </is>
      </c>
      <c r="J5" s="7" t="inlineStr">
        <is>
          <t>Sessão 7</t>
        </is>
      </c>
      <c r="K5" s="7" t="inlineStr">
        <is>
          <t>Sessão 8</t>
        </is>
      </c>
      <c r="L5" s="7" t="inlineStr">
        <is>
          <t>Sessão 9</t>
        </is>
      </c>
      <c r="M5" s="7" t="inlineStr">
        <is>
          <t>Sessão 10</t>
        </is>
      </c>
      <c r="N5" s="7" t="inlineStr">
        <is>
          <t>Sessão 11</t>
        </is>
      </c>
      <c r="O5" s="7" t="inlineStr">
        <is>
          <t>Sessão 12</t>
        </is>
      </c>
      <c r="P5" s="7" t="inlineStr">
        <is>
          <t>Concluídas</t>
        </is>
      </c>
      <c r="Q5" s="7" t="inlineStr">
        <is>
          <t>Progresso</t>
        </is>
      </c>
      <c r="R5" s="7" t="inlineStr">
        <is>
          <t>Estado</t>
        </is>
      </c>
    </row>
    <row r="6" ht="28" customHeight="1">
      <c r="A6" s="9" t="n">
        <v>1</v>
      </c>
      <c r="B6" s="8" t="inlineStr">
        <is>
          <t>Ana Cristina de Vasconcelos</t>
        </is>
      </c>
      <c r="C6" s="8" t="inlineStr">
        <is>
          <t>BB</t>
        </is>
      </c>
      <c r="D6" s="15" t="inlineStr">
        <is>
          <t>ok</t>
        </is>
      </c>
      <c r="E6" s="15" t="inlineStr">
        <is>
          <t>ok</t>
        </is>
      </c>
      <c r="F6" s="15" t="inlineStr">
        <is>
          <t>ok</t>
        </is>
      </c>
      <c r="G6" s="15" t="inlineStr">
        <is>
          <t>ok</t>
        </is>
      </c>
      <c r="H6" s="15" t="inlineStr">
        <is>
          <t>ok</t>
        </is>
      </c>
      <c r="I6" s="9" t="n"/>
      <c r="J6" s="9" t="n"/>
      <c r="K6" s="9" t="n"/>
      <c r="L6" s="9" t="n"/>
      <c r="M6" s="9" t="n"/>
      <c r="N6" s="9" t="n"/>
      <c r="O6" s="9" t="n"/>
      <c r="P6" s="9" t="n">
        <v>5</v>
      </c>
      <c r="Q6" s="10" t="n">
        <v>0.4166666666666667</v>
      </c>
      <c r="R6" s="18" t="inlineStr">
        <is>
          <t>Em andamento</t>
        </is>
      </c>
    </row>
    <row r="7" ht="28" customHeight="1">
      <c r="A7" s="12" t="n">
        <v>2</v>
      </c>
      <c r="B7" s="11" t="inlineStr">
        <is>
          <t>Ginne Siqueira Diniz</t>
        </is>
      </c>
      <c r="C7" s="11" t="inlineStr">
        <is>
          <t>BB</t>
        </is>
      </c>
      <c r="D7" s="15" t="inlineStr">
        <is>
          <t>ok</t>
        </is>
      </c>
      <c r="E7" s="15" t="inlineStr">
        <is>
          <t>ok</t>
        </is>
      </c>
      <c r="F7" s="15" t="inlineStr">
        <is>
          <t>ok</t>
        </is>
      </c>
      <c r="G7" s="15" t="inlineStr">
        <is>
          <t>ok</t>
        </is>
      </c>
      <c r="H7" s="12" t="n"/>
      <c r="I7" s="12" t="n"/>
      <c r="J7" s="12" t="n"/>
      <c r="K7" s="12" t="n"/>
      <c r="L7" s="12" t="n"/>
      <c r="M7" s="12" t="n"/>
      <c r="N7" s="12" t="n"/>
      <c r="O7" s="12" t="n"/>
      <c r="P7" s="12" t="n">
        <v>4</v>
      </c>
      <c r="Q7" s="13" t="n">
        <v>0.3333333333333333</v>
      </c>
      <c r="R7" s="18" t="inlineStr">
        <is>
          <t>Em andamento</t>
        </is>
      </c>
    </row>
    <row r="8" ht="28" customHeight="1">
      <c r="A8" s="9" t="n">
        <v>3</v>
      </c>
      <c r="B8" s="8" t="inlineStr">
        <is>
          <t>Waldeney Lima Resky</t>
        </is>
      </c>
      <c r="C8" s="8" t="inlineStr">
        <is>
          <t>SEBRAE RO</t>
        </is>
      </c>
      <c r="D8" s="17" t="inlineStr">
        <is>
          <t>10/07 - 15h às 16h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>
        <v>0</v>
      </c>
      <c r="Q8" s="10" t="n">
        <v>0</v>
      </c>
      <c r="R8" s="18" t="inlineStr">
        <is>
          <t>Em andamento</t>
        </is>
      </c>
    </row>
    <row r="9" ht="28" customHeight="1">
      <c r="A9" s="12" t="n">
        <v>4</v>
      </c>
      <c r="B9" s="11" t="inlineStr">
        <is>
          <t>Tuannhy Rozeira Haverroth</t>
        </is>
      </c>
      <c r="C9" s="11" t="inlineStr">
        <is>
          <t>SEBRAE RO</t>
        </is>
      </c>
      <c r="D9" s="17" t="inlineStr">
        <is>
          <t>13/07 - 9h às 10h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>
        <v>0</v>
      </c>
      <c r="Q9" s="13" t="n">
        <v>0</v>
      </c>
      <c r="R9" s="18" t="inlineStr">
        <is>
          <t>Em andamento</t>
        </is>
      </c>
    </row>
    <row r="10" ht="28" customHeight="1">
      <c r="A10" s="9" t="n">
        <v>5</v>
      </c>
      <c r="B10" s="8" t="inlineStr">
        <is>
          <t>Telmo Luciano Silva Neves</t>
        </is>
      </c>
      <c r="C10" s="8" t="inlineStr">
        <is>
          <t>SEBRAE RO</t>
        </is>
      </c>
      <c r="D10" s="17" t="inlineStr">
        <is>
          <t>13/07 - 10h30 às 11h30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>
        <v>0</v>
      </c>
      <c r="Q10" s="10" t="n">
        <v>0</v>
      </c>
      <c r="R10" s="18" t="inlineStr">
        <is>
          <t>Em andamento</t>
        </is>
      </c>
    </row>
    <row r="11" ht="28" customHeight="1">
      <c r="A11" s="12" t="n">
        <v>6</v>
      </c>
      <c r="B11" s="11" t="inlineStr">
        <is>
          <t>Pedro Afonso Coelho Figueira</t>
        </is>
      </c>
      <c r="C11" s="11" t="inlineStr">
        <is>
          <t>SEBRAE RO</t>
        </is>
      </c>
      <c r="D11" s="18" t="inlineStr">
        <is>
          <t>Licença paternidade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>
        <v>0</v>
      </c>
      <c r="Q11" s="13" t="n">
        <v>0</v>
      </c>
      <c r="R11" s="18" t="inlineStr">
        <is>
          <t>Em andamento</t>
        </is>
      </c>
    </row>
    <row r="12" ht="28" customHeight="1">
      <c r="A12" s="9" t="n">
        <v>7</v>
      </c>
      <c r="B12" s="8" t="inlineStr">
        <is>
          <t>Jackeline Dantas</t>
        </is>
      </c>
      <c r="C12" s="8" t="inlineStr">
        <is>
          <t>Sebrae SP</t>
        </is>
      </c>
      <c r="D12" s="15" t="inlineStr">
        <is>
          <t>ok</t>
        </is>
      </c>
      <c r="E12" s="15" t="inlineStr">
        <is>
          <t>ok</t>
        </is>
      </c>
      <c r="F12" s="15" t="inlineStr">
        <is>
          <t>ok</t>
        </is>
      </c>
      <c r="G12" s="15" t="inlineStr">
        <is>
          <t>ok</t>
        </is>
      </c>
      <c r="H12" s="15" t="inlineStr">
        <is>
          <t>ok</t>
        </is>
      </c>
      <c r="I12" s="9" t="n"/>
      <c r="J12" s="9" t="n"/>
      <c r="K12" s="9" t="n"/>
      <c r="L12" s="9" t="n"/>
      <c r="M12" s="9" t="n"/>
      <c r="N12" s="9" t="n"/>
      <c r="O12" s="9" t="n"/>
      <c r="P12" s="9" t="n">
        <v>5</v>
      </c>
      <c r="Q12" s="10" t="n">
        <v>0.4166666666666667</v>
      </c>
      <c r="R12" s="18" t="inlineStr">
        <is>
          <t>Em andamento</t>
        </is>
      </c>
    </row>
    <row r="13" ht="28" customHeight="1">
      <c r="A13" s="12" t="n">
        <v>8</v>
      </c>
      <c r="B13" s="11" t="inlineStr">
        <is>
          <t>Alexandre Roman</t>
        </is>
      </c>
      <c r="C13" s="11" t="inlineStr">
        <is>
          <t>Fras-le</t>
        </is>
      </c>
      <c r="D13" s="15" t="inlineStr">
        <is>
          <t>ok</t>
        </is>
      </c>
      <c r="E13" s="15" t="inlineStr">
        <is>
          <t>ok</t>
        </is>
      </c>
      <c r="F13" s="15" t="inlineStr">
        <is>
          <t>ok</t>
        </is>
      </c>
      <c r="G13" s="15" t="inlineStr">
        <is>
          <t>ok</t>
        </is>
      </c>
      <c r="H13" s="15" t="inlineStr">
        <is>
          <t>ok</t>
        </is>
      </c>
      <c r="I13" s="12" t="n"/>
      <c r="J13" s="12" t="n"/>
      <c r="K13" s="12" t="n"/>
      <c r="L13" s="12" t="n"/>
      <c r="M13" s="12" t="n"/>
      <c r="N13" s="12" t="n"/>
      <c r="O13" s="12" t="n"/>
      <c r="P13" s="12" t="n">
        <v>5</v>
      </c>
      <c r="Q13" s="13" t="n">
        <v>0.4166666666666667</v>
      </c>
      <c r="R13" s="18" t="inlineStr">
        <is>
          <t>Em andamento</t>
        </is>
      </c>
    </row>
    <row r="14" ht="28" customHeight="1">
      <c r="A14" s="9" t="n">
        <v>9</v>
      </c>
      <c r="B14" s="8" t="inlineStr">
        <is>
          <t>Anderson Silva</t>
        </is>
      </c>
      <c r="C14" s="8" t="inlineStr">
        <is>
          <t>Fras-le</t>
        </is>
      </c>
      <c r="D14" s="15" t="inlineStr">
        <is>
          <t>ok</t>
        </is>
      </c>
      <c r="E14" s="15" t="inlineStr">
        <is>
          <t>ok</t>
        </is>
      </c>
      <c r="F14" s="15" t="inlineStr">
        <is>
          <t>ok</t>
        </is>
      </c>
      <c r="G14" s="15" t="inlineStr">
        <is>
          <t>ok</t>
        </is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>
        <v>4</v>
      </c>
      <c r="Q14" s="10" t="n">
        <v>0.3333333333333333</v>
      </c>
      <c r="R14" s="18" t="inlineStr">
        <is>
          <t>Em andamento</t>
        </is>
      </c>
    </row>
    <row r="15" ht="28" customHeight="1">
      <c r="A15" s="12" t="n">
        <v>10</v>
      </c>
      <c r="B15" s="11" t="inlineStr">
        <is>
          <t>Daniel Beretta Piccoli</t>
        </is>
      </c>
      <c r="C15" s="11" t="inlineStr">
        <is>
          <t>Fras-le</t>
        </is>
      </c>
      <c r="D15" s="15" t="inlineStr">
        <is>
          <t>ok</t>
        </is>
      </c>
      <c r="E15" s="15" t="inlineStr">
        <is>
          <t>ok</t>
        </is>
      </c>
      <c r="F15" s="15" t="inlineStr">
        <is>
          <t>ok</t>
        </is>
      </c>
      <c r="G15" s="15" t="inlineStr">
        <is>
          <t>ok</t>
        </is>
      </c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>
        <v>4</v>
      </c>
      <c r="Q15" s="13" t="n">
        <v>0.3333333333333333</v>
      </c>
      <c r="R15" s="18" t="inlineStr">
        <is>
          <t>Em andamento</t>
        </is>
      </c>
    </row>
    <row r="16" ht="28" customHeight="1">
      <c r="A16" s="9" t="n">
        <v>11</v>
      </c>
      <c r="B16" s="8" t="inlineStr">
        <is>
          <t>Glauco Della Vecchia</t>
        </is>
      </c>
      <c r="C16" s="8" t="inlineStr">
        <is>
          <t>Singer</t>
        </is>
      </c>
      <c r="D16" s="15" t="inlineStr">
        <is>
          <t>ok</t>
        </is>
      </c>
      <c r="E16" s="15" t="inlineStr">
        <is>
          <t>ok</t>
        </is>
      </c>
      <c r="F16" s="15" t="inlineStr">
        <is>
          <t>ok</t>
        </is>
      </c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>
        <v>3</v>
      </c>
      <c r="Q16" s="10" t="n">
        <v>0.25</v>
      </c>
      <c r="R16" s="18" t="inlineStr">
        <is>
          <t>Em andamento</t>
        </is>
      </c>
    </row>
    <row r="17" ht="28" customHeight="1">
      <c r="A17" s="12" t="n">
        <v>12</v>
      </c>
      <c r="B17" s="11" t="inlineStr">
        <is>
          <t>Yara Assia Cabra Ventura</t>
        </is>
      </c>
      <c r="C17" s="11" t="inlineStr">
        <is>
          <t>EDM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>
        <v>0</v>
      </c>
      <c r="Q17" s="13" t="n">
        <v>0</v>
      </c>
      <c r="R17" s="19" t="inlineStr">
        <is>
          <t>Não iniciado</t>
        </is>
      </c>
    </row>
    <row r="18" ht="28" customHeight="1">
      <c r="A18" s="9" t="n">
        <v>13</v>
      </c>
      <c r="B18" s="8" t="inlineStr">
        <is>
          <t>Assa Fumo</t>
        </is>
      </c>
      <c r="C18" s="8" t="inlineStr">
        <is>
          <t>EDM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>
        <v>0</v>
      </c>
      <c r="Q18" s="10" t="n">
        <v>0</v>
      </c>
      <c r="R18" s="19" t="inlineStr">
        <is>
          <t>Não iniciado</t>
        </is>
      </c>
    </row>
    <row r="19" ht="28" customHeight="1">
      <c r="A19" s="12" t="n">
        <v>14</v>
      </c>
      <c r="B19" s="11" t="inlineStr">
        <is>
          <t>Antonio Munguambe</t>
        </is>
      </c>
      <c r="C19" s="11" t="inlineStr">
        <is>
          <t>EDM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>
        <v>0</v>
      </c>
      <c r="Q19" s="13" t="n">
        <v>0</v>
      </c>
      <c r="R19" s="19" t="inlineStr">
        <is>
          <t>Não iniciado</t>
        </is>
      </c>
    </row>
    <row r="20" ht="28" customHeight="1">
      <c r="A20" s="9" t="n">
        <v>15</v>
      </c>
      <c r="B20" s="8" t="inlineStr">
        <is>
          <t>Anastácio Inácio</t>
        </is>
      </c>
      <c r="C20" s="8" t="inlineStr">
        <is>
          <t>EDM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>
        <v>0</v>
      </c>
      <c r="Q20" s="10" t="n">
        <v>0</v>
      </c>
      <c r="R20" s="19" t="inlineStr">
        <is>
          <t>Não iniciado</t>
        </is>
      </c>
    </row>
    <row r="21" ht="28" customHeight="1">
      <c r="A21" s="12" t="n">
        <v>16</v>
      </c>
      <c r="B21" s="11" t="inlineStr">
        <is>
          <t>Iolanda Seuane</t>
        </is>
      </c>
      <c r="C21" s="11" t="inlineStr">
        <is>
          <t>EDM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>
        <v>0</v>
      </c>
      <c r="Q21" s="13" t="n">
        <v>0</v>
      </c>
      <c r="R21" s="19" t="inlineStr">
        <is>
          <t>Não iniciado</t>
        </is>
      </c>
    </row>
    <row r="22" ht="28" customHeight="1">
      <c r="A22" s="9" t="n">
        <v>17</v>
      </c>
      <c r="B22" s="8" t="inlineStr">
        <is>
          <t>Francisco Inroga</t>
        </is>
      </c>
      <c r="C22" s="8" t="inlineStr">
        <is>
          <t>EDM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>
        <v>0</v>
      </c>
      <c r="Q22" s="10" t="n">
        <v>0</v>
      </c>
      <c r="R22" s="19" t="inlineStr">
        <is>
          <t>Não iniciado</t>
        </is>
      </c>
    </row>
    <row r="23" ht="28" customHeight="1">
      <c r="A23" s="12" t="n">
        <v>18</v>
      </c>
      <c r="B23" s="11" t="inlineStr">
        <is>
          <t>Rosa Chilundo</t>
        </is>
      </c>
      <c r="C23" s="11" t="inlineStr">
        <is>
          <t>EDM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>
        <v>0</v>
      </c>
      <c r="Q23" s="13" t="n">
        <v>0</v>
      </c>
      <c r="R23" s="19" t="inlineStr">
        <is>
          <t>Não iniciado</t>
        </is>
      </c>
    </row>
  </sheetData>
  <autoFilter ref="A5:R23"/>
  <mergeCells count="2">
    <mergeCell ref="A3:R3"/>
    <mergeCell ref="A1:R2"/>
  </mergeCells>
  <pageMargins left="0.25" right="0.25" top="0.5" bottom="0.5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FF5A1F"/>
    <outlinePr summaryBelow="1" summaryRight="1"/>
    <pageSetUpPr fitToPage="1"/>
  </sheetPr>
  <dimension ref="A1:E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46" customWidth="1" min="4" max="4"/>
    <col width="16" customWidth="1" min="5" max="5"/>
  </cols>
  <sheetData>
    <row r="1" ht="27" customHeight="1">
      <c r="A1" s="1" t="inlineStr">
        <is>
          <t>AuraEX — Agenda e Marcações</t>
        </is>
      </c>
    </row>
    <row r="2" ht="27" customHeight="1"/>
    <row r="3" ht="22" customHeight="1">
      <c r="A3" s="2" t="inlineStr">
        <is>
          <t>Datas e pendências identificadas nas sessões</t>
        </is>
      </c>
    </row>
    <row r="5" ht="29" customHeight="1">
      <c r="A5" s="7" t="inlineStr">
        <is>
          <t>Mentorado</t>
        </is>
      </c>
      <c r="B5" s="7" t="inlineStr">
        <is>
          <t>Empresa</t>
        </is>
      </c>
      <c r="C5" s="7" t="inlineStr">
        <is>
          <t>Origem</t>
        </is>
      </c>
      <c r="D5" s="7" t="inlineStr">
        <is>
          <t>Marcação / pendência</t>
        </is>
      </c>
      <c r="E5" s="7" t="inlineStr">
        <is>
          <t>Estado</t>
        </is>
      </c>
    </row>
    <row r="6" ht="27" customHeight="1">
      <c r="A6" s="8" t="inlineStr">
        <is>
          <t>Waldeney Lima Resky</t>
        </is>
      </c>
      <c r="B6" s="8" t="inlineStr">
        <is>
          <t>SEBRAE RO</t>
        </is>
      </c>
      <c r="C6" s="8" t="inlineStr">
        <is>
          <t>Sessão 1</t>
        </is>
      </c>
      <c r="D6" s="17" t="inlineStr">
        <is>
          <t>10/07 - 15h às 16h</t>
        </is>
      </c>
      <c r="E6" s="17" t="inlineStr">
        <is>
          <t>Agendada</t>
        </is>
      </c>
    </row>
    <row r="7" ht="27" customHeight="1">
      <c r="A7" s="11" t="inlineStr">
        <is>
          <t>Tuannhy Rozeira Haverroth</t>
        </is>
      </c>
      <c r="B7" s="11" t="inlineStr">
        <is>
          <t>SEBRAE RO</t>
        </is>
      </c>
      <c r="C7" s="11" t="inlineStr">
        <is>
          <t>Sessão 1</t>
        </is>
      </c>
      <c r="D7" s="17" t="inlineStr">
        <is>
          <t>13/07 - 9h às 10h</t>
        </is>
      </c>
      <c r="E7" s="17" t="inlineStr">
        <is>
          <t>Agendada</t>
        </is>
      </c>
    </row>
    <row r="8" ht="27" customHeight="1">
      <c r="A8" s="8" t="inlineStr">
        <is>
          <t>Telmo Luciano Silva Neves</t>
        </is>
      </c>
      <c r="B8" s="8" t="inlineStr">
        <is>
          <t>SEBRAE RO</t>
        </is>
      </c>
      <c r="C8" s="8" t="inlineStr">
        <is>
          <t>Sessão 1</t>
        </is>
      </c>
      <c r="D8" s="17" t="inlineStr">
        <is>
          <t>13/07 - 10h30 às 11h30</t>
        </is>
      </c>
      <c r="E8" s="17" t="inlineStr">
        <is>
          <t>Agendada</t>
        </is>
      </c>
    </row>
    <row r="9" ht="27" customHeight="1">
      <c r="A9" s="11" t="inlineStr">
        <is>
          <t>Pedro Afonso Coelho Figueira</t>
        </is>
      </c>
      <c r="B9" s="11" t="inlineStr">
        <is>
          <t>SEBRAE RO</t>
        </is>
      </c>
      <c r="C9" s="11" t="inlineStr">
        <is>
          <t>Sessão 1</t>
        </is>
      </c>
      <c r="D9" s="18" t="inlineStr">
        <is>
          <t>Licença paternidade</t>
        </is>
      </c>
      <c r="E9" s="18" t="inlineStr">
        <is>
          <t>Pendência</t>
        </is>
      </c>
    </row>
  </sheetData>
  <autoFilter ref="A5:E9"/>
  <mergeCells count="2">
    <mergeCell ref="A1:E2"/>
    <mergeCell ref="A3:E3"/>
  </mergeCells>
  <pageMargins left="0.25" right="0.25" top="0.5" bottom="0.5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FF5A1F"/>
    <outlinePr summaryBelow="1" summaryRight="1"/>
    <pageSetUpPr fitToPage="1"/>
  </sheetPr>
  <dimension ref="A1:F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20" customWidth="1" min="3" max="3"/>
    <col width="15" customWidth="1" min="4" max="4"/>
    <col width="17" customWidth="1" min="5" max="5"/>
    <col width="17" customWidth="1" min="6" max="6"/>
  </cols>
  <sheetData>
    <row r="1" ht="27" customHeight="1">
      <c r="A1" s="1" t="inlineStr">
        <is>
          <t>AuraEX — Empresas Participantes</t>
        </is>
      </c>
    </row>
    <row r="2" ht="27" customHeight="1"/>
    <row r="3" ht="22" customHeight="1">
      <c r="A3" s="2" t="inlineStr">
        <is>
          <t>Consolidação por organização</t>
        </is>
      </c>
    </row>
    <row r="5" ht="29" customHeight="1">
      <c r="A5" s="7" t="inlineStr">
        <is>
          <t>Empresa</t>
        </is>
      </c>
      <c r="B5" s="7" t="inlineStr">
        <is>
          <t>Mentorados</t>
        </is>
      </c>
      <c r="C5" s="7" t="inlineStr">
        <is>
          <t>Progresso médio</t>
        </is>
      </c>
      <c r="D5" s="7" t="inlineStr">
        <is>
          <t>Concluídos</t>
        </is>
      </c>
      <c r="E5" s="7" t="inlineStr">
        <is>
          <t>Em andamento</t>
        </is>
      </c>
      <c r="F5" s="7" t="inlineStr">
        <is>
          <t>Não iniciados</t>
        </is>
      </c>
    </row>
    <row r="6" ht="27" customHeight="1">
      <c r="A6" s="8" t="inlineStr">
        <is>
          <t>BB</t>
        </is>
      </c>
      <c r="B6" s="9">
        <f>COUNTIF(Mentorados!$E$6:$E$23,A6)</f>
        <v/>
      </c>
      <c r="C6" s="10">
        <f>IFERROR(AVERAGEIF(Mentorados!$E$6:$E$23,A6,Mentorados!$I$6:$I$23),0)</f>
        <v/>
      </c>
      <c r="D6" s="9">
        <f>COUNTIFS(Mentorados!$E$6:$E$23,A6,Mentorados!$F$6:$F$23,"Concluído")</f>
        <v/>
      </c>
      <c r="E6" s="9">
        <f>COUNTIFS(Mentorados!$E$6:$E$23,A6,Mentorados!$F$6:$F$23,"Em andamento")</f>
        <v/>
      </c>
      <c r="F6" s="9">
        <f>COUNTIFS(Mentorados!$E$6:$E$23,A6,Mentorados!$F$6:$F$23,"Não iniciado")</f>
        <v/>
      </c>
    </row>
    <row r="7" ht="27" customHeight="1">
      <c r="A7" s="11" t="inlineStr">
        <is>
          <t>EDM</t>
        </is>
      </c>
      <c r="B7" s="12">
        <f>COUNTIF(Mentorados!$E$6:$E$23,A7)</f>
        <v/>
      </c>
      <c r="C7" s="13">
        <f>IFERROR(AVERAGEIF(Mentorados!$E$6:$E$23,A7,Mentorados!$I$6:$I$23),0)</f>
        <v/>
      </c>
      <c r="D7" s="12">
        <f>COUNTIFS(Mentorados!$E$6:$E$23,A7,Mentorados!$F$6:$F$23,"Concluído")</f>
        <v/>
      </c>
      <c r="E7" s="12">
        <f>COUNTIFS(Mentorados!$E$6:$E$23,A7,Mentorados!$F$6:$F$23,"Em andamento")</f>
        <v/>
      </c>
      <c r="F7" s="12">
        <f>COUNTIFS(Mentorados!$E$6:$E$23,A7,Mentorados!$F$6:$F$23,"Não iniciado")</f>
        <v/>
      </c>
    </row>
    <row r="8" ht="27" customHeight="1">
      <c r="A8" s="8" t="inlineStr">
        <is>
          <t>Fras-le</t>
        </is>
      </c>
      <c r="B8" s="9">
        <f>COUNTIF(Mentorados!$E$6:$E$23,A8)</f>
        <v/>
      </c>
      <c r="C8" s="10">
        <f>IFERROR(AVERAGEIF(Mentorados!$E$6:$E$23,A8,Mentorados!$I$6:$I$23),0)</f>
        <v/>
      </c>
      <c r="D8" s="9">
        <f>COUNTIFS(Mentorados!$E$6:$E$23,A8,Mentorados!$F$6:$F$23,"Concluído")</f>
        <v/>
      </c>
      <c r="E8" s="9">
        <f>COUNTIFS(Mentorados!$E$6:$E$23,A8,Mentorados!$F$6:$F$23,"Em andamento")</f>
        <v/>
      </c>
      <c r="F8" s="9">
        <f>COUNTIFS(Mentorados!$E$6:$E$23,A8,Mentorados!$F$6:$F$23,"Não iniciado")</f>
        <v/>
      </c>
    </row>
    <row r="9" ht="27" customHeight="1">
      <c r="A9" s="11" t="inlineStr">
        <is>
          <t>SEBRAE RO</t>
        </is>
      </c>
      <c r="B9" s="12">
        <f>COUNTIF(Mentorados!$E$6:$E$23,A9)</f>
        <v/>
      </c>
      <c r="C9" s="13">
        <f>IFERROR(AVERAGEIF(Mentorados!$E$6:$E$23,A9,Mentorados!$I$6:$I$23),0)</f>
        <v/>
      </c>
      <c r="D9" s="12">
        <f>COUNTIFS(Mentorados!$E$6:$E$23,A9,Mentorados!$F$6:$F$23,"Concluído")</f>
        <v/>
      </c>
      <c r="E9" s="12">
        <f>COUNTIFS(Mentorados!$E$6:$E$23,A9,Mentorados!$F$6:$F$23,"Em andamento")</f>
        <v/>
      </c>
      <c r="F9" s="12">
        <f>COUNTIFS(Mentorados!$E$6:$E$23,A9,Mentorados!$F$6:$F$23,"Não iniciado")</f>
        <v/>
      </c>
    </row>
    <row r="10" ht="27" customHeight="1">
      <c r="A10" s="8" t="inlineStr">
        <is>
          <t>Sebrae SP</t>
        </is>
      </c>
      <c r="B10" s="9">
        <f>COUNTIF(Mentorados!$E$6:$E$23,A10)</f>
        <v/>
      </c>
      <c r="C10" s="10">
        <f>IFERROR(AVERAGEIF(Mentorados!$E$6:$E$23,A10,Mentorados!$I$6:$I$23),0)</f>
        <v/>
      </c>
      <c r="D10" s="9">
        <f>COUNTIFS(Mentorados!$E$6:$E$23,A10,Mentorados!$F$6:$F$23,"Concluído")</f>
        <v/>
      </c>
      <c r="E10" s="9">
        <f>COUNTIFS(Mentorados!$E$6:$E$23,A10,Mentorados!$F$6:$F$23,"Em andamento")</f>
        <v/>
      </c>
      <c r="F10" s="9">
        <f>COUNTIFS(Mentorados!$E$6:$E$23,A10,Mentorados!$F$6:$F$23,"Não iniciado")</f>
        <v/>
      </c>
    </row>
    <row r="11" ht="27" customHeight="1">
      <c r="A11" s="11" t="inlineStr">
        <is>
          <t>Singer</t>
        </is>
      </c>
      <c r="B11" s="12">
        <f>COUNTIF(Mentorados!$E$6:$E$23,A11)</f>
        <v/>
      </c>
      <c r="C11" s="13">
        <f>IFERROR(AVERAGEIF(Mentorados!$E$6:$E$23,A11,Mentorados!$I$6:$I$23),0)</f>
        <v/>
      </c>
      <c r="D11" s="12">
        <f>COUNTIFS(Mentorados!$E$6:$E$23,A11,Mentorados!$F$6:$F$23,"Concluído")</f>
        <v/>
      </c>
      <c r="E11" s="12">
        <f>COUNTIFS(Mentorados!$E$6:$E$23,A11,Mentorados!$F$6:$F$23,"Em andamento")</f>
        <v/>
      </c>
      <c r="F11" s="12">
        <f>COUNTIFS(Mentorados!$E$6:$E$23,A11,Mentorados!$F$6:$F$23,"Não iniciado")</f>
        <v/>
      </c>
    </row>
  </sheetData>
  <autoFilter ref="A5:F11"/>
  <mergeCells count="2">
    <mergeCell ref="A3:F3"/>
    <mergeCell ref="A1:F2"/>
  </mergeCells>
  <pageMargins left="0.25" right="0.25" top="0.5" bottom="0.5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68696E"/>
    <outlinePr summaryBelow="1" summaryRight="1"/>
    <pageSetUpPr fitToPage="1"/>
  </sheetPr>
  <dimension ref="A1:H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7" customHeight="1">
      <c r="A1" s="1" t="inlineStr">
        <is>
          <t>AuraEX — Como usar este ficheiro</t>
        </is>
      </c>
    </row>
    <row r="2" ht="27" customHeight="1"/>
    <row r="3" ht="22" customHeight="1">
      <c r="A3" s="2" t="inlineStr">
        <is>
          <t>Guia rápido para consulta e atualização</t>
        </is>
      </c>
    </row>
    <row r="6" ht="34" customHeight="1">
      <c r="A6" s="20" t="inlineStr">
        <is>
          <t>1</t>
        </is>
      </c>
      <c r="B6" s="21" t="inlineStr">
        <is>
          <t>Mentorados</t>
        </is>
      </c>
      <c r="C6" s="22" t="inlineStr">
        <is>
          <t>Cadastro principal com estado, progresso e próximos passos.</t>
        </is>
      </c>
      <c r="D6" s="23" t="n"/>
      <c r="E6" s="23" t="n"/>
      <c r="F6" s="23" t="n"/>
      <c r="G6" s="23" t="n"/>
      <c r="H6" s="23" t="n"/>
    </row>
    <row r="7" ht="34" customHeight="1">
      <c r="A7" s="20" t="inlineStr">
        <is>
          <t>2</t>
        </is>
      </c>
      <c r="B7" s="21" t="inlineStr">
        <is>
          <t>Sessões</t>
        </is>
      </c>
      <c r="C7" s="22" t="inlineStr">
        <is>
          <t>Tabela grande com as 12 sessões. Use “ok”, data/hora ou observação.</t>
        </is>
      </c>
      <c r="D7" s="23" t="n"/>
      <c r="E7" s="23" t="n"/>
      <c r="F7" s="23" t="n"/>
      <c r="G7" s="23" t="n"/>
      <c r="H7" s="23" t="n"/>
    </row>
    <row r="8" ht="34" customHeight="1">
      <c r="A8" s="20" t="inlineStr">
        <is>
          <t>3</t>
        </is>
      </c>
      <c r="B8" s="21" t="inlineStr">
        <is>
          <t>Agenda</t>
        </is>
      </c>
      <c r="C8" s="22" t="inlineStr">
        <is>
          <t>Todas as datas e pendências encontradas nas sessões.</t>
        </is>
      </c>
      <c r="D8" s="23" t="n"/>
      <c r="E8" s="23" t="n"/>
      <c r="F8" s="23" t="n"/>
      <c r="G8" s="23" t="n"/>
      <c r="H8" s="23" t="n"/>
    </row>
    <row r="9" ht="34" customHeight="1">
      <c r="A9" s="20" t="inlineStr">
        <is>
          <t>4</t>
        </is>
      </c>
      <c r="B9" s="21" t="inlineStr">
        <is>
          <t>Empresas</t>
        </is>
      </c>
      <c r="C9" s="22" t="inlineStr">
        <is>
          <t>Consolidação automática por organização.</t>
        </is>
      </c>
      <c r="D9" s="23" t="n"/>
      <c r="E9" s="23" t="n"/>
      <c r="F9" s="23" t="n"/>
      <c r="G9" s="23" t="n"/>
      <c r="H9" s="23" t="n"/>
    </row>
    <row r="10" ht="34" customHeight="1">
      <c r="A10" s="20" t="inlineStr">
        <is>
          <t>5</t>
        </is>
      </c>
      <c r="B10" s="21" t="inlineStr">
        <is>
          <t>Resumo</t>
        </is>
      </c>
      <c r="C10" s="22" t="inlineStr">
        <is>
          <t>Indicadores gerais calculados automaticamente.</t>
        </is>
      </c>
      <c r="D10" s="23" t="n"/>
      <c r="E10" s="23" t="n"/>
      <c r="F10" s="23" t="n"/>
      <c r="G10" s="23" t="n"/>
      <c r="H10" s="23" t="n"/>
    </row>
  </sheetData>
  <mergeCells count="7">
    <mergeCell ref="C6:H6"/>
    <mergeCell ref="A3:H3"/>
    <mergeCell ref="C10:H10"/>
    <mergeCell ref="C9:H9"/>
    <mergeCell ref="C8:H8"/>
    <mergeCell ref="A1:H2"/>
    <mergeCell ref="C7:H7"/>
  </mergeCells>
  <pageMargins left="0.25" right="0.25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2026-07-31T09:47:00Z</dcterms:created>
  <dcterms:modified xmlns:dcterms="http://purl.org/dc/terms/" xmlns:xsi="http://www.w3.org/2001/XMLSchema-instance" xsi:type="dcterms:W3CDTF">2026-07-31T09:47:00Z</dcterms:modified>
</cp:coreProperties>
</file>